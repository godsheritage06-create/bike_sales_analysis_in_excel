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E7470\Downloads\"/>
    </mc:Choice>
  </mc:AlternateContent>
  <xr:revisionPtr revIDLastSave="0" documentId="13_ncr:1_{9471287C-CEEA-48E7-87DA-D2426DA7B825}" xr6:coauthVersionLast="47" xr6:coauthVersionMax="47" xr10:uidLastSave="{00000000-0000-0000-0000-000000000000}"/>
  <bookViews>
    <workbookView xWindow="-110" yWindow="-110" windowWidth="19420" windowHeight="10300" activeTab="3" xr2:uid="{00000000-000D-0000-FFFF-FFFF00000000}"/>
  </bookViews>
  <sheets>
    <sheet name="bike_buyers Dataset" sheetId="1" r:id="rId1"/>
    <sheet name="Cleaned Dataset" sheetId="4" r:id="rId2"/>
    <sheet name="pivot table" sheetId="3" r:id="rId3"/>
    <sheet name="dashboard" sheetId="2" r:id="rId4"/>
  </sheets>
  <definedNames>
    <definedName name="_xlnm._FilterDatabase" localSheetId="0" hidden="1">'bike_buyers Dataset'!$A$1:$M$1027</definedName>
    <definedName name="_xlnm._FilterDatabase" localSheetId="1" hidden="1">'Cleaned Dataset'!$A$1:$N$1001</definedName>
    <definedName name="Slicer_Education">#N/A</definedName>
    <definedName name="Slicer_Gender">#N/A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<sst xmlns="http://schemas.openxmlformats.org/spreadsheetml/2006/main" count="16267" uniqueCount="51">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</sst>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layout>
        <c:manualLayout>
          <c:xMode val="edge"/>
          <c:yMode val="edge"/>
          <c:x val="0.25813188976377954"/>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F89-4FD7-81E6-B25F6899851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0-080F-44DE-825A-F1FA6715F6FB}"/>
            </c:ext>
          </c:extLst>
        </c:ser>
        <c:dLbls>
          <c:showLegendKey val="0"/>
          <c:showVal val="0"/>
          <c:showCatName val="0"/>
          <c:showSerName val="0"/>
          <c:showPercent val="0"/>
          <c:showBubbleSize val="0"/>
        </c:dLbls>
        <c:gapWidth val="219"/>
        <c:overlap val="-27"/>
        <c:axId val="1132318943"/>
        <c:axId val="1132319903"/>
      </c:barChart>
      <c:catAx>
        <c:axId val="113231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3417935258092744"/>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32319903"/>
        <c:crosses val="autoZero"/>
        <c:auto val="1"/>
        <c:lblAlgn val="ctr"/>
        <c:lblOffset val="100"/>
        <c:noMultiLvlLbl val="0"/>
      </c:catAx>
      <c:valAx>
        <c:axId val="1132319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layout>
            <c:manualLayout>
              <c:xMode val="edge"/>
              <c:yMode val="edge"/>
              <c:x val="0.05"/>
              <c:y val="0.338776975794692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323189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E00-4224-978F-3F6BF6253A65}"/>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0589-42EE-9B78-1BD56FD30640}"/>
            </c:ext>
          </c:extLst>
        </c:ser>
        <c:dLbls>
          <c:showLegendKey val="0"/>
          <c:showVal val="0"/>
          <c:showCatName val="0"/>
          <c:showSerName val="0"/>
          <c:showPercent val="0"/>
          <c:showBubbleSize val="0"/>
        </c:dLbls>
        <c:smooth val="0"/>
        <c:axId val="1652189599"/>
        <c:axId val="1652191039"/>
      </c:lineChart>
      <c:catAx>
        <c:axId val="165218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52191039"/>
        <c:crosses val="autoZero"/>
        <c:auto val="1"/>
        <c:lblAlgn val="ctr"/>
        <c:lblOffset val="100"/>
        <c:noMultiLvlLbl val="0"/>
      </c:catAx>
      <c:valAx>
        <c:axId val="165219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5218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aged</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D6B-420A-B9F6-2D172D50BBC5}"/>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aged</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0421-4DC7-9D1F-B34C087175DC}"/>
            </c:ext>
          </c:extLst>
        </c:ser>
        <c:dLbls>
          <c:showLegendKey val="0"/>
          <c:showVal val="0"/>
          <c:showCatName val="0"/>
          <c:showSerName val="0"/>
          <c:showPercent val="0"/>
          <c:showBubbleSize val="0"/>
        </c:dLbls>
        <c:marker val="1"/>
        <c:smooth val="0"/>
        <c:axId val="1487452623"/>
        <c:axId val="1487457903"/>
      </c:lineChart>
      <c:catAx>
        <c:axId val="1487452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7457903"/>
        <c:crosses val="autoZero"/>
        <c:auto val="1"/>
        <c:lblAlgn val="ctr"/>
        <c:lblOffset val="100"/>
        <c:noMultiLvlLbl val="0"/>
      </c:catAx>
      <c:valAx>
        <c:axId val="148745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74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layout>
        <c:manualLayout>
          <c:xMode val="edge"/>
          <c:yMode val="edge"/>
          <c:x val="0.25813188976377954"/>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321-4C2C-867E-AD548011E28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B-0321-4C2C-867E-AD548011E28A}"/>
            </c:ext>
          </c:extLst>
        </c:ser>
        <c:dLbls>
          <c:showLegendKey val="0"/>
          <c:showVal val="0"/>
          <c:showCatName val="0"/>
          <c:showSerName val="0"/>
          <c:showPercent val="0"/>
          <c:showBubbleSize val="0"/>
        </c:dLbls>
        <c:gapWidth val="219"/>
        <c:overlap val="-27"/>
        <c:axId val="1132318943"/>
        <c:axId val="1132319903"/>
      </c:barChart>
      <c:catAx>
        <c:axId val="113231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manualLayout>
              <c:xMode val="edge"/>
              <c:yMode val="edge"/>
              <c:x val="0.43417935258092744"/>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32319903"/>
        <c:crosses val="autoZero"/>
        <c:auto val="1"/>
        <c:lblAlgn val="ctr"/>
        <c:lblOffset val="100"/>
        <c:noMultiLvlLbl val="0"/>
      </c:catAx>
      <c:valAx>
        <c:axId val="1132319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a:p>
                <a:pPr>
                  <a:defRPr/>
                </a:pPr>
                <a:endParaRPr lang="en-GB"/>
              </a:p>
            </c:rich>
          </c:tx>
          <c:layout>
            <c:manualLayout>
              <c:xMode val="edge"/>
              <c:yMode val="edge"/>
              <c:x val="0.05"/>
              <c:y val="0.338776975794692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323189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aged</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098-4ED2-BE08-C7291F0BD1A7}"/>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aged</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3098-4ED2-BE08-C7291F0BD1A7}"/>
            </c:ext>
          </c:extLst>
        </c:ser>
        <c:dLbls>
          <c:showLegendKey val="0"/>
          <c:showVal val="0"/>
          <c:showCatName val="0"/>
          <c:showSerName val="0"/>
          <c:showPercent val="0"/>
          <c:showBubbleSize val="0"/>
        </c:dLbls>
        <c:marker val="1"/>
        <c:smooth val="0"/>
        <c:axId val="1487452623"/>
        <c:axId val="1487457903"/>
      </c:lineChart>
      <c:catAx>
        <c:axId val="1487452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7457903"/>
        <c:crosses val="autoZero"/>
        <c:auto val="1"/>
        <c:lblAlgn val="ctr"/>
        <c:lblOffset val="100"/>
        <c:noMultiLvlLbl val="0"/>
      </c:catAx>
      <c:valAx>
        <c:axId val="148745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874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422-45BE-9734-C8F0CA3D6428}"/>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A422-45BE-9734-C8F0CA3D6428}"/>
            </c:ext>
          </c:extLst>
        </c:ser>
        <c:dLbls>
          <c:showLegendKey val="0"/>
          <c:showVal val="0"/>
          <c:showCatName val="0"/>
          <c:showSerName val="0"/>
          <c:showPercent val="0"/>
          <c:showBubbleSize val="0"/>
        </c:dLbls>
        <c:smooth val="0"/>
        <c:axId val="1652189599"/>
        <c:axId val="1652191039"/>
      </c:lineChart>
      <c:catAx>
        <c:axId val="1652189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52191039"/>
        <c:crosses val="autoZero"/>
        <c:auto val="1"/>
        <c:lblAlgn val="ctr"/>
        <c:lblOffset val="100"/>
        <c:noMultiLvlLbl val="0"/>
      </c:catAx>
      <c:valAx>
        <c:axId val="165219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5218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234950</xdr:colOff>
      <xdr:row>1</xdr:row>
      <xdr:rowOff>38100</xdr:rowOff>
    </xdr:from>
    <xdr:to>
      <xdr:col>11</xdr:col>
      <xdr:colOff>539750</xdr:colOff>
      <xdr:row>16</xdr:row>
      <xdr:rowOff>19050</xdr:rowOff>
    </xdr:to>
    <xdr:graphicFrame macro="">
      <xdr:nvGraphicFramePr>
        <xdr:cNvPr id="2" name="Chart 1">
          <a:extLst>
            <a:ext uri="{FF2B5EF4-FFF2-40B4-BE49-F238E27FC236}">
              <a16:creationId xmlns:a16="http://schemas.microsoft.com/office/drawing/2014/main" id="{0872F61F-7C66-7BE5-4EA5-88436E125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234950</xdr:colOff>
      <xdr:row>19</xdr:row>
      <xdr:rowOff>165100</xdr:rowOff>
    </xdr:from>
    <xdr:to>
      <xdr:col>11</xdr:col>
      <xdr:colOff>539750</xdr:colOff>
      <xdr:row>34</xdr:row>
      <xdr:rowOff>146050</xdr:rowOff>
    </xdr:to>
    <xdr:graphicFrame macro="">
      <xdr:nvGraphicFramePr>
        <xdr:cNvPr id="3" name="Chart 2">
          <a:extLst>
            <a:ext uri="{FF2B5EF4-FFF2-40B4-BE49-F238E27FC236}">
              <a16:creationId xmlns:a16="http://schemas.microsoft.com/office/drawing/2014/main" id="{AC5D4873-E476-4700-407A-5C6010324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273050</xdr:colOff>
      <xdr:row>36</xdr:row>
      <xdr:rowOff>12700</xdr:rowOff>
    </xdr:from>
    <xdr:to>
      <xdr:col>11</xdr:col>
      <xdr:colOff>577850</xdr:colOff>
      <xdr:row>50</xdr:row>
      <xdr:rowOff>177800</xdr:rowOff>
    </xdr:to>
    <xdr:graphicFrame macro="">
      <xdr:nvGraphicFramePr>
        <xdr:cNvPr id="4" name="Chart 3">
          <a:extLst>
            <a:ext uri="{FF2B5EF4-FFF2-40B4-BE49-F238E27FC236}">
              <a16:creationId xmlns:a16="http://schemas.microsoft.com/office/drawing/2014/main" id="{CA06AE0B-B83E-3D84-24EB-87D8C1CA0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196272</xdr:colOff>
      <xdr:row>6</xdr:row>
      <xdr:rowOff>2</xdr:rowOff>
    </xdr:from>
    <xdr:to>
      <xdr:col>9</xdr:col>
      <xdr:colOff>92362</xdr:colOff>
      <xdr:row>18</xdr:row>
      <xdr:rowOff>92364</xdr:rowOff>
    </xdr:to>
    <xdr:graphicFrame macro="">
      <xdr:nvGraphicFramePr>
        <xdr:cNvPr id="2" name="Chart 1">
          <a:extLst>
            <a:ext uri="{FF2B5EF4-FFF2-40B4-BE49-F238E27FC236}">
              <a16:creationId xmlns:a16="http://schemas.microsoft.com/office/drawing/2014/main" id="{435C7003-6512-4E55-A12E-77BB4C22A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103912</xdr:colOff>
      <xdr:row>6</xdr:row>
      <xdr:rowOff>2</xdr:rowOff>
    </xdr:from>
    <xdr:to>
      <xdr:col>14</xdr:col>
      <xdr:colOff>600364</xdr:colOff>
      <xdr:row>18</xdr:row>
      <xdr:rowOff>80820</xdr:rowOff>
    </xdr:to>
    <xdr:graphicFrame macro="">
      <xdr:nvGraphicFramePr>
        <xdr:cNvPr id="3" name="Chart 2">
          <a:extLst>
            <a:ext uri="{FF2B5EF4-FFF2-40B4-BE49-F238E27FC236}">
              <a16:creationId xmlns:a16="http://schemas.microsoft.com/office/drawing/2014/main" id="{C3F2E3AD-E440-4CFE-AB66-B010EFCFE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207820</xdr:colOff>
      <xdr:row>18</xdr:row>
      <xdr:rowOff>138544</xdr:rowOff>
    </xdr:from>
    <xdr:to>
      <xdr:col>14</xdr:col>
      <xdr:colOff>590178</xdr:colOff>
      <xdr:row>33</xdr:row>
      <xdr:rowOff>119494</xdr:rowOff>
    </xdr:to>
    <xdr:graphicFrame macro="">
      <xdr:nvGraphicFramePr>
        <xdr:cNvPr id="4" name="Chart 3">
          <a:extLst>
            <a:ext uri="{FF2B5EF4-FFF2-40B4-BE49-F238E27FC236}">
              <a16:creationId xmlns:a16="http://schemas.microsoft.com/office/drawing/2014/main" id="{1525F691-E447-43A2-A18B-9CC00636F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43873</xdr:colOff>
      <xdr:row>6</xdr:row>
      <xdr:rowOff>40986</xdr:rowOff>
    </xdr:from>
    <xdr:to>
      <xdr:col>3</xdr:col>
      <xdr:colOff>173182</xdr:colOff>
      <xdr:row>10</xdr:row>
      <xdr:rowOff>173182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FCBE34B-F4FC-CA89-7527-A2B2119ECFC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3873" y="1149350"/>
              <a:ext cx="1965036" cy="87110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80818</xdr:colOff>
      <xdr:row>17</xdr:row>
      <xdr:rowOff>163706</xdr:rowOff>
    </xdr:from>
    <xdr:to>
      <xdr:col>3</xdr:col>
      <xdr:colOff>152807</xdr:colOff>
      <xdr:row>27</xdr:row>
      <xdr:rowOff>23090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E38FEE7-7CCF-9E02-4DFA-2E2F586D97E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0818" y="3304070"/>
              <a:ext cx="1907716" cy="17066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59459</xdr:colOff>
      <xdr:row>11</xdr:row>
      <xdr:rowOff>79663</xdr:rowOff>
    </xdr:from>
    <xdr:to>
      <xdr:col>3</xdr:col>
      <xdr:colOff>171824</xdr:colOff>
      <xdr:row>17</xdr:row>
      <xdr:rowOff>103907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E627F8A-F0B2-944D-A333-930BE4D32C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459" y="2111663"/>
              <a:ext cx="1948092" cy="113260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78509</xdr:colOff>
      <xdr:row>27</xdr:row>
      <xdr:rowOff>64078</xdr:rowOff>
    </xdr:from>
    <xdr:to>
      <xdr:col>3</xdr:col>
      <xdr:colOff>138546</xdr:colOff>
      <xdr:row>33</xdr:row>
      <xdr:rowOff>115455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96F90CBE-7036-B369-70D3-42AF016482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509" y="5051714"/>
              <a:ext cx="1895764" cy="115974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D'SHERITAGE" refreshedDate="46174.672335300929" createdVersion="8" refreshedVersion="8" minRefreshableVersion="3" recordCount="1000" xr:uid="{FC7FE473-2E7D-471B-9AC9-995C88F2C691}">
  <cacheSource type="worksheet">
    <worksheetSource ref="A1:N1001" sheet="Cleaned 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62687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638FA6-DD8A-4215-B093-29249B6F83A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F5591E-68BA-4A6F-AE68-9C0EB646C20E}"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9:D44"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BED36A-125E-46BA-BFF1-9A4D8144D12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CFB541F-129D-4311-8893-65EA11C99173}" sourceName="Marital Status">
  <pivotTables>
    <pivotTable tabId="3" name="PivotTable8"/>
    <pivotTable tabId="3" name="PivotTable10"/>
    <pivotTable tabId="3" name="PivotTable9"/>
  </pivotTables>
  <data>
    <tabular pivotCacheId="10626877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3BE4A78-0589-4D3D-BD23-5506EBC31542}" sourceName="Education">
  <pivotTables>
    <pivotTable tabId="3" name="PivotTable8"/>
    <pivotTable tabId="3" name="PivotTable10"/>
    <pivotTable tabId="3" name="PivotTable9"/>
  </pivotTables>
  <data>
    <tabular pivotCacheId="106268771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E15664-8C62-4882-8459-4FA9A1D4AB2D}" sourceName="Region">
  <pivotTables>
    <pivotTable tabId="3" name="PivotTable8"/>
    <pivotTable tabId="3" name="PivotTable10"/>
    <pivotTable tabId="3" name="PivotTable9"/>
  </pivotTables>
  <data>
    <tabular pivotCacheId="106268771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131B2B-6EE5-4139-97D1-DC1263297D03}" sourceName="Gender">
  <pivotTables>
    <pivotTable tabId="3" name="PivotTable8"/>
    <pivotTable tabId="3" name="PivotTable10"/>
    <pivotTable tabId="3" name="PivotTable9"/>
  </pivotTables>
  <data>
    <tabular pivotCacheId="10626877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3B565A-F0CD-40E1-B607-772D9FC43724}" cache="Slicer_Marital_Status" caption="Marital Status" style="SlicerStyleLight2" rowHeight="241300"/>
  <slicer name="Education" xr10:uid="{0B63BB7F-FBBC-49E7-B786-9197B75AEA38}" cache="Slicer_Education" caption="Education" style="SlicerStyleLight2" rowHeight="241300"/>
  <slicer name="Region" xr10:uid="{710E5E24-C163-4931-81FF-11B5CECE1E1D}" cache="Slicer_Region" caption="Region" startItem="1" style="SlicerStyleLight2" rowHeight="241300"/>
  <slicer name="Gender" xr10:uid="{5611A9DC-F4BC-4768-838C-C17B7154BD7A}" cache="Slicer_Gender" caption="Gender" style="SlicerStyleLigh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85" zoomScaleNormal="85" workbookViewId="0">
      <selection activeCell="D3" sqref="D3"/>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2A252-B86C-44B4-BD2F-5F8BCC40E91F}">
  <dimension ref="A1:N1001"/>
  <sheetViews>
    <sheetView topLeftCell="E1" zoomScale="70" zoomScaleNormal="70" workbookViewId="0">
      <selection activeCell="P19" sqref="P19"/>
    </sheetView>
  </sheetViews>
  <sheetFormatPr defaultRowHeight="14.5" x14ac:dyDescent="0.35"/>
  <cols>
    <col min="2" max="2" width="14.7265625" customWidth="1"/>
    <col min="3" max="3" width="14.54296875" customWidth="1"/>
    <col min="4" max="4" width="15" customWidth="1"/>
    <col min="6" max="6" width="13.81640625" customWidth="1"/>
    <col min="7" max="7" width="17" customWidth="1"/>
    <col min="8" max="8" width="16.08984375" customWidth="1"/>
    <col min="9" max="9" width="14.453125" customWidth="1"/>
    <col min="10" max="10" width="20.26953125" customWidth="1"/>
    <col min="11" max="11" width="19.36328125" customWidth="1"/>
    <col min="12" max="13" width="21.453125" customWidth="1"/>
    <col min="14" max="14" width="14.26953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IF(L2&gt;=55,"old",IF(L2&gt;=31,"Middle aged",IF(L2&lt;31,"Adolescent","invalid")))</f>
        <v>Middle aged</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IF(L3&gt;=55,"old",IF(L3&gt;=31,"Middle aged",IF(L3&lt;31,"Adolescent","invalid")))</f>
        <v>Middle aged</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aged</v>
      </c>
      <c r="N5" t="s">
        <v>15</v>
      </c>
    </row>
    <row r="6" spans="1:14" x14ac:dyDescent="0.35">
      <c r="A6">
        <v>25597</v>
      </c>
      <c r="B6" t="s">
        <v>37</v>
      </c>
      <c r="C6" t="s">
        <v>38</v>
      </c>
      <c r="D6" s="3">
        <v>30000</v>
      </c>
      <c r="E6">
        <v>0</v>
      </c>
      <c r="F6" t="s">
        <v>13</v>
      </c>
      <c r="G6" t="s">
        <v>20</v>
      </c>
      <c r="H6" t="s">
        <v>18</v>
      </c>
      <c r="I6">
        <v>0</v>
      </c>
      <c r="J6" t="s">
        <v>16</v>
      </c>
      <c r="K6" t="s">
        <v>17</v>
      </c>
      <c r="L6">
        <v>36</v>
      </c>
      <c r="M6" t="str">
        <f t="shared" si="0"/>
        <v>Middle aged</v>
      </c>
      <c r="N6" t="s">
        <v>15</v>
      </c>
    </row>
    <row r="7" spans="1:14" x14ac:dyDescent="0.35">
      <c r="A7">
        <v>13507</v>
      </c>
      <c r="B7" t="s">
        <v>36</v>
      </c>
      <c r="C7" t="s">
        <v>39</v>
      </c>
      <c r="D7" s="3">
        <v>10000</v>
      </c>
      <c r="E7">
        <v>2</v>
      </c>
      <c r="F7" t="s">
        <v>19</v>
      </c>
      <c r="G7" t="s">
        <v>25</v>
      </c>
      <c r="H7" t="s">
        <v>15</v>
      </c>
      <c r="I7">
        <v>0</v>
      </c>
      <c r="J7" t="s">
        <v>26</v>
      </c>
      <c r="K7" t="s">
        <v>17</v>
      </c>
      <c r="L7">
        <v>50</v>
      </c>
      <c r="M7" t="str">
        <f t="shared" si="0"/>
        <v>Middle aged</v>
      </c>
      <c r="N7" t="s">
        <v>18</v>
      </c>
    </row>
    <row r="8" spans="1:14" x14ac:dyDescent="0.35">
      <c r="A8">
        <v>27974</v>
      </c>
      <c r="B8" t="s">
        <v>37</v>
      </c>
      <c r="C8" t="s">
        <v>38</v>
      </c>
      <c r="D8" s="3">
        <v>160000</v>
      </c>
      <c r="E8">
        <v>2</v>
      </c>
      <c r="F8" t="s">
        <v>27</v>
      </c>
      <c r="G8" t="s">
        <v>28</v>
      </c>
      <c r="H8" t="s">
        <v>15</v>
      </c>
      <c r="I8">
        <v>4</v>
      </c>
      <c r="J8" t="s">
        <v>16</v>
      </c>
      <c r="K8" t="s">
        <v>24</v>
      </c>
      <c r="L8">
        <v>33</v>
      </c>
      <c r="M8" t="str">
        <f t="shared" si="0"/>
        <v>Middle aged</v>
      </c>
      <c r="N8" t="s">
        <v>15</v>
      </c>
    </row>
    <row r="9" spans="1:14" x14ac:dyDescent="0.35">
      <c r="A9">
        <v>19364</v>
      </c>
      <c r="B9" t="s">
        <v>36</v>
      </c>
      <c r="C9" t="s">
        <v>38</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IF(L67&gt;=55,"old",IF(L67&gt;=31,"Middle aged",IF(L67&lt;31,"Adolescent","invalid")))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aged",IF(L131&lt;31,"Adolescent","invalid")))</f>
        <v>Middle aged</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aged",IF(L195&lt;31,"Adolescent","invalid")))</f>
        <v>Middle aged</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aged",IF(L259&lt;31,"Adolescent","invalid")))</f>
        <v>Middle aged</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aged",IF(L323&lt;31,"Adolescent","invalid")))</f>
        <v>Middle aged</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aged",IF(L387&lt;31,"Adolescent","invalid")))</f>
        <v>Middle aged</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aged",IF(L451&lt;31,"Adolescent","invalid")))</f>
        <v>Middle aged</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aged",IF(L515&lt;31,"Adolescent","invalid")))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aged",IF(L579&lt;31,"Adolescent","invalid")))</f>
        <v>Middle aged</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aged",IF(L643&lt;31,"Adolescent","invalid")))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aged",IF(L707&lt;31,"Adolescent","invalid")))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aged",IF(L771&lt;31,"Adolescent","invalid")))</f>
        <v>Middle aged</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aged",IF(L835&lt;31,"Adolescent","invalid")))</f>
        <v>Middle aged</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aged",IF(L899&lt;31,"Adolescent","invalid")))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aged",IF(L963&lt;31,"Adolescent","invalid")))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xr:uid="{3702A252-B86C-44B4-BD2F-5F8BCC40E91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3B48C-5722-4370-A2CC-ACA80D88DE01}">
  <dimension ref="A3:D44"/>
  <sheetViews>
    <sheetView zoomScale="55" zoomScaleNormal="55" workbookViewId="0">
      <selection activeCell="T8" sqref="T8"/>
    </sheetView>
  </sheetViews>
  <sheetFormatPr defaultRowHeight="14.5" x14ac:dyDescent="0.35"/>
  <cols>
    <col min="1" max="1" width="16.6328125" bestFit="1" customWidth="1"/>
    <col min="2" max="2" width="16.90625" bestFit="1" customWidth="1"/>
    <col min="3" max="3" width="7.5429687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3">
        <v>53440</v>
      </c>
      <c r="C5" s="3">
        <v>55774.058577405856</v>
      </c>
      <c r="D5" s="3">
        <v>54580.777096114522</v>
      </c>
    </row>
    <row r="6" spans="1:4" x14ac:dyDescent="0.35">
      <c r="A6" s="5" t="s">
        <v>38</v>
      </c>
      <c r="B6" s="3">
        <v>56208.178438661707</v>
      </c>
      <c r="C6" s="3">
        <v>60123.966942148763</v>
      </c>
      <c r="D6" s="3">
        <v>58062.62230919765</v>
      </c>
    </row>
    <row r="7" spans="1:4" x14ac:dyDescent="0.35">
      <c r="A7" s="5" t="s">
        <v>42</v>
      </c>
      <c r="B7" s="3">
        <v>54874.759152215796</v>
      </c>
      <c r="C7" s="3">
        <v>57962.577962577961</v>
      </c>
      <c r="D7" s="3">
        <v>56360</v>
      </c>
    </row>
    <row r="21" spans="1:4" x14ac:dyDescent="0.35">
      <c r="A21" s="4" t="s">
        <v>45</v>
      </c>
      <c r="B21" s="4" t="s">
        <v>44</v>
      </c>
    </row>
    <row r="22" spans="1:4" x14ac:dyDescent="0.35">
      <c r="A22" s="4" t="s">
        <v>41</v>
      </c>
      <c r="B22" t="s">
        <v>18</v>
      </c>
      <c r="C22" t="s">
        <v>15</v>
      </c>
      <c r="D22" t="s">
        <v>42</v>
      </c>
    </row>
    <row r="23" spans="1:4" x14ac:dyDescent="0.35">
      <c r="A23" s="5" t="s">
        <v>16</v>
      </c>
      <c r="B23" s="8">
        <v>166</v>
      </c>
      <c r="C23" s="8">
        <v>200</v>
      </c>
      <c r="D23" s="8">
        <v>366</v>
      </c>
    </row>
    <row r="24" spans="1:4" x14ac:dyDescent="0.35">
      <c r="A24" s="5" t="s">
        <v>26</v>
      </c>
      <c r="B24" s="8">
        <v>92</v>
      </c>
      <c r="C24" s="8">
        <v>77</v>
      </c>
      <c r="D24" s="8">
        <v>169</v>
      </c>
    </row>
    <row r="25" spans="1:4" x14ac:dyDescent="0.35">
      <c r="A25" s="5" t="s">
        <v>22</v>
      </c>
      <c r="B25" s="8">
        <v>67</v>
      </c>
      <c r="C25" s="8">
        <v>95</v>
      </c>
      <c r="D25" s="8">
        <v>162</v>
      </c>
    </row>
    <row r="26" spans="1:4" x14ac:dyDescent="0.35">
      <c r="A26" s="5" t="s">
        <v>23</v>
      </c>
      <c r="B26" s="8">
        <v>116</v>
      </c>
      <c r="C26" s="8">
        <v>76</v>
      </c>
      <c r="D26" s="8">
        <v>192</v>
      </c>
    </row>
    <row r="27" spans="1:4" x14ac:dyDescent="0.35">
      <c r="A27" s="5" t="s">
        <v>46</v>
      </c>
      <c r="B27" s="8">
        <v>78</v>
      </c>
      <c r="C27" s="8">
        <v>33</v>
      </c>
      <c r="D27" s="8">
        <v>111</v>
      </c>
    </row>
    <row r="28" spans="1:4" x14ac:dyDescent="0.35">
      <c r="A28" s="5" t="s">
        <v>42</v>
      </c>
      <c r="B28" s="8">
        <v>519</v>
      </c>
      <c r="C28" s="8">
        <v>481</v>
      </c>
      <c r="D28" s="8">
        <v>1000</v>
      </c>
    </row>
    <row r="39" spans="1:4" x14ac:dyDescent="0.35">
      <c r="A39" s="4" t="s">
        <v>45</v>
      </c>
      <c r="B39" s="4" t="s">
        <v>44</v>
      </c>
    </row>
    <row r="40" spans="1:4" x14ac:dyDescent="0.35">
      <c r="A40" s="4" t="s">
        <v>41</v>
      </c>
      <c r="B40" t="s">
        <v>18</v>
      </c>
      <c r="C40" t="s">
        <v>15</v>
      </c>
      <c r="D40" t="s">
        <v>42</v>
      </c>
    </row>
    <row r="41" spans="1:4" x14ac:dyDescent="0.35">
      <c r="A41" s="5" t="s">
        <v>47</v>
      </c>
      <c r="B41" s="8">
        <v>71</v>
      </c>
      <c r="C41" s="8">
        <v>39</v>
      </c>
      <c r="D41" s="8">
        <v>110</v>
      </c>
    </row>
    <row r="42" spans="1:4" x14ac:dyDescent="0.35">
      <c r="A42" s="5" t="s">
        <v>48</v>
      </c>
      <c r="B42" s="8">
        <v>318</v>
      </c>
      <c r="C42" s="8">
        <v>383</v>
      </c>
      <c r="D42" s="8">
        <v>701</v>
      </c>
    </row>
    <row r="43" spans="1:4" x14ac:dyDescent="0.35">
      <c r="A43" s="5" t="s">
        <v>49</v>
      </c>
      <c r="B43" s="8">
        <v>130</v>
      </c>
      <c r="C43" s="8">
        <v>59</v>
      </c>
      <c r="D43" s="8">
        <v>189</v>
      </c>
    </row>
    <row r="44" spans="1:4" x14ac:dyDescent="0.35">
      <c r="A44" s="5" t="s">
        <v>42</v>
      </c>
      <c r="B44" s="8">
        <v>519</v>
      </c>
      <c r="C44" s="8">
        <v>481</v>
      </c>
      <c r="D44"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385E-C0A0-4203-ADF7-CA39248F82B4}">
  <dimension ref="A1:O6"/>
  <sheetViews>
    <sheetView showGridLines="0" tabSelected="1" zoomScale="55" zoomScaleNormal="55" workbookViewId="0">
      <selection activeCell="V29" sqref="V29"/>
    </sheetView>
  </sheetViews>
  <sheetFormatPr defaultRowHeight="14.5" x14ac:dyDescent="0.35"/>
  <sheetData>
    <row r="1" spans="1:15" x14ac:dyDescent="0.35">
      <c r="A1" s="6" t="s">
        <v>50</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row r="6" spans="1:15" x14ac:dyDescent="0.3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Dataset</vt:lpstr>
      <vt:lpstr>Cleaned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Olatunji God'sheritage</cp:lastModifiedBy>
  <dcterms:created xsi:type="dcterms:W3CDTF">2022-03-18T02:50:57Z</dcterms:created>
  <dcterms:modified xsi:type="dcterms:W3CDTF">2026-06-04T10:34:22Z</dcterms:modified>
</cp:coreProperties>
</file>